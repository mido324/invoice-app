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<sst xmlns="http://schemas.openxmlformats.org/spreadsheetml/2006/main" count="24" uniqueCount="24">
  <si>
    <t>فاتورة الدفع</t>
  </si>
  <si>
    <t>Lethal Preformance Auto Service</t>
  </si>
  <si>
    <t xml:space="preserve">رقم الفاتورة </t>
  </si>
  <si>
    <t xml:space="preserve">التأريخ و الوقت </t>
  </si>
  <si>
    <t>العنوان: سلماباد مجمع 704 شارع 421 رقم المحل 1209 A</t>
  </si>
  <si>
    <t>الهاتف: 36333219-36660209</t>
  </si>
  <si>
    <t xml:space="preserve">معلومات الزبون </t>
  </si>
  <si>
    <t>الأسم</t>
  </si>
  <si>
    <t xml:space="preserve">رقم الهاتف </t>
  </si>
  <si>
    <t xml:space="preserve">نوع السيارة </t>
  </si>
  <si>
    <t xml:space="preserve">toyta - </t>
  </si>
  <si>
    <t>رقم</t>
  </si>
  <si>
    <t xml:space="preserve">تفاصيل الخدمة </t>
  </si>
  <si>
    <t xml:space="preserve">السعر </t>
  </si>
  <si>
    <t>العدد</t>
  </si>
  <si>
    <t xml:space="preserve">المبلغ </t>
  </si>
  <si>
    <t>الضرائب</t>
  </si>
  <si>
    <t>خصومات</t>
  </si>
  <si>
    <t xml:space="preserve">المبلغ الكلي </t>
  </si>
  <si>
    <t>المبلغ النهائي</t>
  </si>
  <si>
    <t>أُستلمت من قبل:</t>
  </si>
  <si>
    <t xml:space="preserve">المبلغ المدفوع </t>
  </si>
  <si>
    <t>ملاحظات:</t>
  </si>
  <si>
    <t xml:space="preserve">المبلغ المتبقي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</si>
</sst>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9">
    <font>
      <sz val="10.0"/>
      <color rgb="FF000000"/>
      <name val="Arial"/>
      <scheme val="minor"/>
    </font>
    <font>
      <b/>
      <sz val="24.0"/>
      <color rgb="FF434343"/>
      <name val="Arial"/>
      <scheme val="minor"/>
    </font>
    <font>
      <b/>
      <sz val="18.0"/>
      <color rgb="FF000000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b/>
      <sz val="12.0"/>
      <color theme="1"/>
      <name val="Arial"/>
      <scheme val="minor"/>
    </font>
    <font/>
    <font>
      <color theme="1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8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CCCCCC"/>
      </bottom>
    </border>
    <border>
      <left style="thin">
        <color rgb="FFCCCCCC"/>
      </left>
      <top style="thin">
        <color rgb="FFCCCCCC"/>
      </top>
      <bottom style="medium">
        <color rgb="FFCCCCCC"/>
      </bottom>
    </border>
    <border>
      <right style="thin">
        <color rgb="FFCCCCCC"/>
      </right>
      <top style="thin">
        <color rgb="FFCCCCCC"/>
      </top>
      <bottom style="medium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right" vertical="bottom"/>
    </xf>
    <xf borderId="0" fillId="2" fontId="4" numFmtId="0" xfId="0" applyFont="1"/>
    <xf borderId="0" fillId="2" fontId="5" numFmtId="0" xfId="0" applyAlignment="1" applyFont="1">
      <alignment horizontal="right" readingOrder="0"/>
    </xf>
    <xf borderId="1" fillId="3" fontId="4" numFmtId="0" xfId="0" applyBorder="1" applyFill="1" applyFont="1"/>
    <xf borderId="2" fillId="3" fontId="6" numFmtId="0" xfId="0" applyBorder="1" applyFont="1"/>
    <xf borderId="3" fillId="3" fontId="7" numFmtId="164" xfId="0" applyAlignment="1" applyBorder="1" applyFont="1" applyNumberFormat="1">
      <alignment horizontal="right" vertical="bottom"/>
    </xf>
    <xf borderId="1" fillId="3" fontId="6" numFmtId="0" xfId="0" applyBorder="1" applyFont="1"/>
    <xf borderId="0" fillId="3" fontId="4" numFmtId="0" xfId="0" applyFont="1"/>
    <xf borderId="0" fillId="3" fontId="5" numFmtId="0" xfId="0" applyAlignment="1" applyFont="1">
      <alignment horizontal="right" readingOrder="0"/>
    </xf>
    <xf borderId="0" fillId="4" fontId="4" numFmtId="0" xfId="0" applyFill="1" applyFont="1"/>
    <xf borderId="4" fillId="4" fontId="5" numFmtId="0" xfId="0" applyAlignment="1" applyBorder="1" applyFont="1">
      <alignment horizontal="center" readingOrder="0"/>
    </xf>
    <xf borderId="5" fillId="4" fontId="6" numFmtId="0" xfId="0" applyBorder="1" applyFont="1"/>
    <xf borderId="6" fillId="4" fontId="6" numFmtId="0" xfId="0" applyBorder="1" applyFont="1"/>
    <xf borderId="0" fillId="0" fontId="5" numFmtId="0" xfId="0" applyAlignment="1" applyFont="1">
      <alignment horizontal="center" readingOrder="0"/>
    </xf>
    <xf borderId="7" fillId="3" fontId="5" numFmtId="0" xfId="0" applyAlignment="1" applyBorder="1" applyFont="1">
      <alignment readingOrder="0"/>
    </xf>
    <xf borderId="4" fillId="3" fontId="4" numFmtId="0" xfId="0" applyAlignment="1" applyBorder="1" applyFont="1">
      <alignment readingOrder="0"/>
    </xf>
    <xf borderId="5" fillId="3" fontId="6" numFmtId="0" xfId="0" applyBorder="1" applyFont="1"/>
    <xf borderId="6" fillId="3" fontId="6" numFmtId="0" xfId="0" applyBorder="1" applyFont="1"/>
    <xf borderId="7" fillId="4" fontId="5" numFmtId="0" xfId="0" applyAlignment="1" applyBorder="1" applyFont="1">
      <alignment horizontal="right" readingOrder="0"/>
    </xf>
    <xf borderId="4" fillId="4" fontId="4" numFmtId="0" xfId="0" applyBorder="1" applyFont="1"/>
    <xf borderId="8" fillId="0" fontId="5" numFmtId="0" xfId="0" applyAlignment="1" applyBorder="1" applyFont="1">
      <alignment horizontal="center" readingOrder="0"/>
    </xf>
    <xf borderId="9" fillId="0" fontId="5" numFmtId="0" xfId="0" applyAlignment="1" applyBorder="1" applyFont="1">
      <alignment horizontal="center" readingOrder="0"/>
    </xf>
    <xf borderId="10" fillId="0" fontId="6" numFmtId="0" xfId="0" applyBorder="1" applyFont="1"/>
    <xf borderId="11" fillId="0" fontId="6" numFmtId="0" xfId="0" applyBorder="1" applyFont="1"/>
    <xf borderId="8" fillId="0" fontId="4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9" fillId="0" fontId="4" numFmtId="0" xfId="0" applyBorder="1" applyFont="1"/>
    <xf borderId="8" fillId="0" fontId="4" numFmtId="0" xfId="0" applyBorder="1" applyFont="1"/>
    <xf borderId="8" fillId="0" fontId="5" numFmtId="0" xfId="0" applyAlignment="1" applyBorder="1" applyFont="1">
      <alignment readingOrder="0"/>
    </xf>
    <xf borderId="8" fillId="0" fontId="8" numFmtId="9" xfId="0" applyAlignment="1" applyBorder="1" applyFont="1" applyNumberFormat="1">
      <alignment horizontal="center" readingOrder="0"/>
    </xf>
    <xf borderId="8" fillId="0" fontId="5" numFmtId="0" xfId="0" applyAlignment="1" applyBorder="1" applyFont="1">
      <alignment horizontal="right" readingOrder="0"/>
    </xf>
    <xf borderId="9" fillId="0" fontId="5" numFmtId="0" xfId="0" applyAlignment="1" applyBorder="1" applyFont="1">
      <alignment horizontal="right" readingOrder="0"/>
    </xf>
    <xf borderId="12" fillId="0" fontId="5" numFmtId="0" xfId="0" applyAlignment="1" applyBorder="1" applyFont="1">
      <alignment readingOrder="0"/>
    </xf>
    <xf borderId="12" fillId="0" fontId="4" numFmtId="9" xfId="0" applyAlignment="1" applyBorder="1" applyFont="1" applyNumberFormat="1">
      <alignment readingOrder="0"/>
    </xf>
    <xf borderId="13" fillId="0" fontId="5" numFmtId="0" xfId="0" applyAlignment="1" applyBorder="1" applyFont="1">
      <alignment readingOrder="0"/>
    </xf>
    <xf borderId="14" fillId="0" fontId="6" numFmtId="0" xfId="0" applyBorder="1" applyFont="1"/>
    <xf borderId="15" fillId="0" fontId="4" numFmtId="0" xfId="0" applyBorder="1" applyFont="1"/>
    <xf borderId="15" fillId="0" fontId="5" numFmtId="0" xfId="0" applyAlignment="1" applyBorder="1" applyFont="1">
      <alignment readingOrder="0"/>
    </xf>
    <xf borderId="16" fillId="0" fontId="4" numFmtId="0" xfId="0" applyBorder="1" applyFont="1"/>
    <xf borderId="17" fillId="0" fontId="6" numFmtId="0" xfId="0" applyBorder="1" applyFont="1"/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838200</xdr:colOff>
      <xdr:row>0</xdr:row>
      <xdr:rowOff>9525</xdr:rowOff>
    </xdr:from>
    <xdr:ext cx="2476500" cy="18669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1" max="11" width="5.5"/>
    <col customWidth="1" min="13" max="13" width="0.38"/>
    <col customWidth="1" min="15" max="16" width="0.38"/>
    <col hidden="1" min="17" max="18" width="12.63"/>
  </cols>
  <sheetData>
    <row r="1">
      <c r="B1" s="1" t="s">
        <v>0</v>
      </c>
      <c r="E1" s="2" t="s">
        <v>1</v>
      </c>
      <c r="J1" s="2"/>
    </row>
    <row r="2">
      <c r="J2" s="2"/>
    </row>
    <row r="5">
      <c r="B5" s="3" t="s">
        <v>2</v>
      </c>
      <c r="D5" s="3" t="s">
        <v>3</v>
      </c>
      <c r="F5" s="4"/>
      <c r="G5" s="5" t="s">
        <v>4</v>
      </c>
    </row>
    <row r="6">
      <c r="B6" s="6"/>
      <c r="C6" s="7"/>
      <c r="D6" s="8">
        <f>NOW()</f>
        <v>46127.21885</v>
      </c>
      <c r="E6" s="9"/>
      <c r="F6" s="10"/>
      <c r="G6" s="11" t="s">
        <v>5</v>
      </c>
    </row>
    <row r="7">
      <c r="B7" s="12"/>
      <c r="C7" s="12"/>
      <c r="D7" s="12"/>
      <c r="E7" s="12"/>
      <c r="F7" s="12"/>
      <c r="G7" s="12"/>
    </row>
    <row r="8">
      <c r="B8" s="10"/>
      <c r="C8" s="10"/>
      <c r="D8" s="10"/>
      <c r="E8" s="10"/>
      <c r="F8" s="10"/>
      <c r="G8" s="10"/>
    </row>
    <row r="9">
      <c r="B9" s="13" t="s">
        <v>6</v>
      </c>
      <c r="C9" s="14"/>
      <c r="D9" s="14"/>
      <c r="E9" s="14"/>
      <c r="F9" s="14"/>
      <c r="G9" s="15"/>
      <c r="H9" s="16"/>
      <c r="I9" s="16"/>
    </row>
    <row r="10">
      <c r="B10" s="17" t="s">
        <v>7</v>
      </c>
      <c r="C10" s="18"/>
      <c r="D10" s="19"/>
      <c r="E10" s="19"/>
      <c r="F10" s="19"/>
      <c r="G10" s="20"/>
    </row>
    <row r="11">
      <c r="B11" s="21" t="s">
        <v>8</v>
      </c>
      <c r="C11" s="22"/>
      <c r="D11" s="14"/>
      <c r="E11" s="14"/>
      <c r="F11" s="14"/>
      <c r="G11" s="15"/>
    </row>
    <row r="12">
      <c r="B12" s="17" t="s">
        <v>9</v>
      </c>
      <c r="C12" s="18" t="s">
        <v>10</v>
      </c>
      <c r="D12" s="19"/>
      <c r="E12" s="19"/>
      <c r="F12" s="19"/>
      <c r="G12" s="20"/>
    </row>
    <row r="14">
      <c r="B14" s="23" t="s">
        <v>11</v>
      </c>
      <c r="C14" s="24" t="s">
        <v>12</v>
      </c>
      <c r="D14" s="25"/>
      <c r="E14" s="26"/>
      <c r="F14" s="23" t="s">
        <v>13</v>
      </c>
      <c r="G14" s="23" t="s">
        <v>14</v>
      </c>
      <c r="H14" s="23" t="s">
        <v>15</v>
      </c>
    </row>
    <row r="15">
      <c r="B15" s="27">
        <v>1.0</v>
      </c>
      <c r="C15" s="28"/>
      <c r="D15" s="25"/>
      <c r="E15" s="26"/>
      <c r="F15" s="27">
        <v>30.0</v>
      </c>
      <c r="G15" s="27">
        <v>4.0</v>
      </c>
      <c r="H15" s="27">
        <f t="shared" ref="H15:H18" si="1">if(F15&gt;0,F15*G15,"")</f>
        <v>120</v>
      </c>
    </row>
    <row r="16">
      <c r="B16" s="27">
        <v>2.0</v>
      </c>
      <c r="C16" s="28"/>
      <c r="D16" s="25"/>
      <c r="E16" s="26"/>
      <c r="F16" s="27">
        <v>60.0</v>
      </c>
      <c r="G16" s="27">
        <v>2.0</v>
      </c>
      <c r="H16" s="27">
        <f t="shared" si="1"/>
        <v>120</v>
      </c>
    </row>
    <row r="17">
      <c r="B17" s="27"/>
      <c r="C17" s="29"/>
      <c r="D17" s="25"/>
      <c r="E17" s="26"/>
      <c r="F17" s="30"/>
      <c r="G17" s="30"/>
      <c r="H17" s="30" t="str">
        <f t="shared" si="1"/>
        <v/>
      </c>
    </row>
    <row r="18">
      <c r="B18" s="27"/>
      <c r="C18" s="29"/>
      <c r="D18" s="25"/>
      <c r="E18" s="26"/>
      <c r="F18" s="27"/>
      <c r="G18" s="27"/>
      <c r="H18" s="30" t="str">
        <f t="shared" si="1"/>
        <v/>
      </c>
    </row>
    <row r="19">
      <c r="B19" s="30"/>
      <c r="C19" s="29"/>
      <c r="D19" s="25"/>
      <c r="E19" s="26"/>
      <c r="F19" s="27"/>
      <c r="G19" s="27"/>
      <c r="H19" s="30"/>
    </row>
    <row r="20">
      <c r="B20" s="30"/>
      <c r="C20" s="29"/>
      <c r="D20" s="25"/>
      <c r="E20" s="26"/>
      <c r="F20" s="27"/>
      <c r="G20" s="27"/>
      <c r="H20" s="30" t="str">
        <f t="shared" ref="H20:H26" si="2">if(F20&gt;0,F20*G20,"")</f>
        <v/>
      </c>
    </row>
    <row r="21">
      <c r="B21" s="30"/>
      <c r="C21" s="29"/>
      <c r="D21" s="25"/>
      <c r="E21" s="26"/>
      <c r="F21" s="27"/>
      <c r="G21" s="27"/>
      <c r="H21" s="30" t="str">
        <f t="shared" si="2"/>
        <v/>
      </c>
    </row>
    <row r="22">
      <c r="B22" s="30"/>
      <c r="C22" s="29"/>
      <c r="D22" s="25"/>
      <c r="E22" s="26"/>
      <c r="F22" s="27"/>
      <c r="G22" s="27"/>
      <c r="H22" s="30" t="str">
        <f t="shared" si="2"/>
        <v/>
      </c>
    </row>
    <row r="23">
      <c r="B23" s="30"/>
      <c r="C23" s="29"/>
      <c r="D23" s="25"/>
      <c r="E23" s="26"/>
      <c r="F23" s="27"/>
      <c r="G23" s="27"/>
      <c r="H23" s="30" t="str">
        <f t="shared" si="2"/>
        <v/>
      </c>
    </row>
    <row r="24">
      <c r="B24" s="30"/>
      <c r="C24" s="29"/>
      <c r="D24" s="25"/>
      <c r="E24" s="26"/>
      <c r="F24" s="27"/>
      <c r="G24" s="27"/>
      <c r="H24" s="30" t="str">
        <f t="shared" si="2"/>
        <v/>
      </c>
    </row>
    <row r="25">
      <c r="B25" s="30"/>
      <c r="C25" s="29"/>
      <c r="D25" s="25"/>
      <c r="E25" s="26"/>
      <c r="F25" s="27"/>
      <c r="G25" s="27"/>
      <c r="H25" s="30" t="str">
        <f t="shared" si="2"/>
        <v/>
      </c>
    </row>
    <row r="26">
      <c r="B26" s="30"/>
      <c r="C26" s="29"/>
      <c r="D26" s="25"/>
      <c r="E26" s="26"/>
      <c r="F26" s="27"/>
      <c r="G26" s="27"/>
      <c r="H26" s="30" t="str">
        <f t="shared" si="2"/>
        <v/>
      </c>
    </row>
    <row r="27">
      <c r="B27" s="30"/>
      <c r="C27" s="29"/>
      <c r="D27" s="25"/>
      <c r="E27" s="26"/>
      <c r="F27" s="27"/>
      <c r="G27" s="27"/>
      <c r="H27" s="30"/>
    </row>
    <row r="28">
      <c r="B28" s="31" t="s">
        <v>16</v>
      </c>
      <c r="C28" s="32">
        <v>0.0</v>
      </c>
      <c r="D28" s="31" t="s">
        <v>17</v>
      </c>
      <c r="E28" s="32">
        <v>0.0</v>
      </c>
      <c r="F28" s="33" t="s">
        <v>18</v>
      </c>
      <c r="G28" s="34">
        <f>SUM(H15:H27)</f>
        <v>240</v>
      </c>
      <c r="H28" s="26"/>
    </row>
    <row r="29">
      <c r="B29" s="35">
        <f>G28*C28</f>
        <v>0</v>
      </c>
      <c r="C29" s="36"/>
      <c r="D29" s="35">
        <f>E28*G28</f>
        <v>0</v>
      </c>
      <c r="E29" s="36"/>
      <c r="F29" s="35" t="s">
        <v>19</v>
      </c>
      <c r="G29" s="37">
        <f>G28+B29-D29</f>
        <v>240</v>
      </c>
      <c r="H29" s="38"/>
    </row>
    <row r="30">
      <c r="B30" s="39"/>
      <c r="C30" s="39"/>
      <c r="D30" s="39"/>
      <c r="E30" s="39"/>
      <c r="F30" s="40"/>
      <c r="G30" s="41"/>
      <c r="H30" s="42"/>
    </row>
    <row r="33">
      <c r="B33" s="43" t="s">
        <v>20</v>
      </c>
      <c r="F33" s="43" t="s">
        <v>21</v>
      </c>
      <c r="G33" s="44"/>
    </row>
    <row r="34">
      <c r="B34" s="43" t="s">
        <v>22</v>
      </c>
      <c r="F34" s="43" t="s">
        <v>23</v>
      </c>
      <c r="G34" s="45">
        <f>G29-G33</f>
        <v>240</v>
      </c>
    </row>
  </sheetData>
  <mergeCells count="33">
    <mergeCell ref="B1:D2"/>
    <mergeCell ref="E1:I2"/>
    <mergeCell ref="B5:C5"/>
    <mergeCell ref="D5:E5"/>
    <mergeCell ref="G5:I5"/>
    <mergeCell ref="B6:C6"/>
    <mergeCell ref="G6:I6"/>
    <mergeCell ref="D6:E6"/>
    <mergeCell ref="B9:G9"/>
    <mergeCell ref="C10:G10"/>
    <mergeCell ref="C11:G11"/>
    <mergeCell ref="C12:G12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7:E27"/>
    <mergeCell ref="C33:D33"/>
    <mergeCell ref="C34:E35"/>
    <mergeCell ref="G33:H33"/>
    <mergeCell ref="G34:H34"/>
    <mergeCell ref="C23:E23"/>
    <mergeCell ref="C24:E24"/>
    <mergeCell ref="C25:E25"/>
    <mergeCell ref="C26:E26"/>
    <mergeCell ref="G28:H28"/>
    <mergeCell ref="G29:H29"/>
    <mergeCell ref="G30:H30"/>
  </mergeCells>
  <conditionalFormatting sqref="B9:G12">
    <cfRule type="notContainsBlanks" dxfId="1" priority="1">
      <formula>LEN(TRIM(B9))&gt;0</formula>
    </cfRule>
  </conditionalFormatting>
  <conditionalFormatting sqref="B14:H14">
    <cfRule type="notContainsBlanks" dxfId="1" priority="2">
      <formula>LEN(TRIM(B14))&gt;0</formula>
    </cfRule>
  </conditionalFormatting>
  <conditionalFormatting sqref="B28:F28">
    <cfRule type="notContainsBlanks" dxfId="1" priority="3">
      <formula>LEN(TRIM(B28))&gt;0</formula>
    </cfRule>
  </conditionalFormatting>
  <conditionalFormatting sqref="F29">
    <cfRule type="notContainsBlanks" dxfId="1" priority="4">
      <formula>LEN(TRIM(F29))&gt;0</formula>
    </cfRule>
  </conditionalFormatting>
  <conditionalFormatting sqref="B33">
    <cfRule type="notContainsBlanks" dxfId="2" priority="5">
      <formula>LEN(TRIM(B33))&gt;0</formula>
    </cfRule>
  </conditionalFormatting>
  <conditionalFormatting sqref="F33:F34">
    <cfRule type="notContainsBlanks" dxfId="1" priority="6">
      <formula>LEN(TRIM(F33))&gt;0</formula>
    </cfRule>
  </conditionalFormatting>
  <conditionalFormatting sqref="B34">
    <cfRule type="notContainsBlanks" dxfId="2" priority="7">
      <formula>LEN(TRIM(B34))&gt;0</formula>
    </cfRule>
  </conditionalFormatting>
  <conditionalFormatting sqref="B5:E5">
    <cfRule type="notContainsBlanks" dxfId="3" priority="8">
      <formula>LEN(TRIM(B5))&gt;0</formula>
    </cfRule>
  </conditionalFormatting>
  <conditionalFormatting sqref="E1:I2">
    <cfRule type="notContainsBlanks" dxfId="3" priority="9">
      <formula>LEN(TRIM(E1))&gt;0</formula>
    </cfRule>
  </conditionalFormatting>
  <conditionalFormatting sqref="B1:D2">
    <cfRule type="notContainsBlanks" dxfId="3" priority="10">
      <formula>LEN(TRIM(B1))&gt;0</formula>
    </cfRule>
  </conditionalFormatting>
  <conditionalFormatting sqref="G5:I6">
    <cfRule type="notContainsBlanks" dxfId="3" priority="11">
      <formula>LEN(TRIM(G5))&gt;0</formula>
    </cfRule>
  </conditionalFormatting>
  <conditionalFormatting sqref="B9:G12">
    <cfRule type="notContainsBlanks" dxfId="1" priority="12">
      <formula>LEN(TRIM(B9))&gt;0</formula>
    </cfRule>
  </conditionalFormatting>
  <drawing r:id="rId1"/>
</worksheet>
</file>